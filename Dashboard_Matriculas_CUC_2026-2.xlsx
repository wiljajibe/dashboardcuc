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5988d49d4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7863787f1a794e51"/>
    <x:sheet xmlns:r="http://schemas.openxmlformats.org/officeDocument/2006/relationships" name="Consolidado por programa" sheetId="2" r:id="R9e678147996749c2"/>
    <x:sheet xmlns:r="http://schemas.openxmlformats.org/officeDocument/2006/relationships" name="Matrícula académica" sheetId="3" r:id="Ra09e180092844861"/>
    <x:sheet xmlns:r="http://schemas.openxmlformats.org/officeDocument/2006/relationships" name="Embudo de admisiones" sheetId="4" r:id="R9749fc450c42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2424"/>
      <x:name val="Carlito"/>
    </x:font>
    <x:font>
      <x:b/>
      <x:sz val="11"/>
      <x:color rgb="FFFFFFFF"/>
      <x:name val="Carlito"/>
    </x:font>
    <x:font>
      <x:b/>
      <x:sz val="11"/>
      <x:color rgb="FF16845B"/>
      <x:name val="Carlito"/>
    </x:font>
    <x:font>
      <x:sz val="11"/>
      <x:color rgb="FF155B4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FFF2F4"/>
      </x:patternFill>
    </x:fill>
    <x:fill>
      <x:patternFill patternType="solid">
        <x:fgColor rgb="FF242424"/>
      </x:patternFill>
    </x:fill>
    <x:fill>
      <x:patternFill patternType="solid">
        <x:fgColor rgb="FFF4F6F8"/>
      </x:patternFill>
    </x:fill>
    <x:fill>
      <x:patternFill patternType="solid">
        <x:fgColor rgb="FFEAF5F0"/>
      </x:patternFill>
    </x:fill>
  </x:fills>
  <x:borders count="10">
    <x:border/>
    <x:border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bottom style="thin">
        <x:color rgb="FFE2E5E9"/>
      </x:bottom>
    </x:border>
    <x:border>
      <x:left style="thin">
        <x:color rgb="FFE2E5E9"/>
      </x:left>
      <x:bottom style="thin">
        <x:color rgb="FFE2E5E9"/>
      </x:bottom>
    </x:border>
    <x:border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right style="thin">
        <x:color rgb="FFE2E5E9"/>
      </x:right>
      <x:top style="thin">
        <x:color rgb="FFE2E5E9"/>
      </x:top>
      <x:bottom style="thin">
        <x:color rgb="FFE2E5E9"/>
      </x:bottom>
    </x:border>
    <x:border>
      <x:left style="thin">
        <x:color rgb="FFE2E5E9"/>
      </x:left>
      <x:top style="thin">
        <x:color rgb="FFE2E5E9"/>
      </x:top>
      <x:bottom style="thin">
        <x:color rgb="FFE2E5E9"/>
      </x:bottom>
    </x:border>
    <x:border>
      <x:right style="thin">
        <x:color rgb="FFE2E5E9"/>
      </x:right>
      <x:top style="thin">
        <x:color rgb="FFE2E5E9"/>
      </x:top>
    </x:border>
    <x:border>
      <x:left style="thin">
        <x:color rgb="FFE2E5E9"/>
      </x:left>
      <x:right style="thin">
        <x:color rgb="FFE2E5E9"/>
      </x:right>
      <x:top style="thin">
        <x:color rgb="FFE2E5E9"/>
      </x:top>
    </x:border>
    <x:border>
      <x:left style="thin">
        <x:color rgb="FFE2E5E9"/>
      </x:left>
      <x:top style="thin">
        <x:color rgb="FFE2E5E9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e6a2fda014914" /><Relationship Type="http://schemas.openxmlformats.org/officeDocument/2006/relationships/theme" Target="/xl/theme/theme1.xml" Id="R5021a10eed1a457b" /><Relationship Type="http://schemas.openxmlformats.org/officeDocument/2006/relationships/sharedStrings" Target="/xl/sharedStrings.xml" Id="Rdbc05ebf5ee6433e" /><Relationship Type="http://schemas.openxmlformats.org/officeDocument/2006/relationships/worksheet" Target="/xl/worksheets/sheet1.xml" Id="R7863787f1a794e51" /><Relationship Type="http://schemas.openxmlformats.org/officeDocument/2006/relationships/worksheet" Target="/xl/worksheets/sheet2.xml" Id="R9e678147996749c2" /><Relationship Type="http://schemas.openxmlformats.org/officeDocument/2006/relationships/worksheet" Target="/xl/worksheets/sheet3.xml" Id="Ra09e180092844861" /><Relationship Type="http://schemas.openxmlformats.org/officeDocument/2006/relationships/worksheet" Target="/xl/worksheets/sheet4.xml" Id="R9749fc450c42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Dashboard de Matrículas CUC 2026-2</x:v>
      </x:c>
      <x:c r="B1" s="3"/>
      <x:c r="C1" s="3"/>
      <x:c r="D1" s="3"/>
      <x:c r="E1" s="3"/>
      <x:c r="F1" s="3"/>
    </x:row>
    <x:row r="2" ht="24" customHeight="1">
      <x:c r="A2" s="6" t="str">
        <x:v>Corte institucional del 18 de agosto de 2026 · Cumplimiento basado en matrícula financiera</x:v>
      </x:c>
      <x:c r="B2" s="6"/>
      <x:c r="C2" s="6"/>
      <x:c r="D2" s="6"/>
      <x:c r="E2" s="6"/>
      <x:c r="F2" s="6"/>
    </x:row>
    <x:row r="4" ht="30" customHeight="1">
      <x:c r="A4" s="10" t="str">
        <x:v>Indicador</x:v>
      </x:c>
      <x:c r="B4" s="10" t="str">
        <x:v>Resultado</x:v>
      </x:c>
      <x:c r="D4" s="10" t="str">
        <x:v>Indicador del embudo</x:v>
      </x:c>
      <x:c r="E4" s="10" t="str">
        <x:v>Resultado</x:v>
      </x:c>
    </x:row>
    <x:row r="5">
      <x:c r="A5" s="11" t="str">
        <x:v>Meta institucional</x:v>
      </x:c>
      <x:c r="B5" s="13" t="n">
        <x:f>SUM('Consolidado por programa'!B5:B31)</x:f>
        <x:v>563</x:v>
      </x:c>
      <x:c r="D5" s="11" t="str">
        <x:v>Preinscritos</x:v>
      </x:c>
      <x:c r="E5" s="13" t="n">
        <x:f>SUM('Embudo de admisiones'!B5:B26)</x:f>
        <x:v>991</x:v>
      </x:c>
    </x:row>
    <x:row r="6">
      <x:c r="A6" s="11" t="str">
        <x:v>Matrícula financiera</x:v>
      </x:c>
      <x:c r="B6" s="13" t="n">
        <x:f>SUM('Consolidado por programa'!D5:D31)</x:f>
        <x:v>487</x:v>
      </x:c>
      <x:c r="D6" s="11" t="str">
        <x:v>Inscritos</x:v>
      </x:c>
      <x:c r="E6" s="13" t="n">
        <x:f>SUM('Embudo de admisiones'!C5:C26)</x:f>
        <x:v>672</x:v>
      </x:c>
    </x:row>
    <x:row r="7">
      <x:c r="A7" s="11" t="str">
        <x:v>Cumplimiento financiero</x:v>
      </x:c>
      <x:c r="B7" s="14" t="n">
        <x:f>IF(B5=0,0,B6/B5)</x:f>
        <x:v>0.8650088809946714</x:v>
      </x:c>
      <x:c r="D7" s="11" t="str">
        <x:v>Admitidos</x:v>
      </x:c>
      <x:c r="E7" s="13" t="n">
        <x:f>SUM('Embudo de admisiones'!D5:D26)</x:f>
        <x:v>624</x:v>
      </x:c>
    </x:row>
    <x:row r="8">
      <x:c r="A8" s="11" t="str">
        <x:v>Faltantes para la meta</x:v>
      </x:c>
      <x:c r="B8" s="13" t="n">
        <x:f>MAX(B5-B6,0)</x:f>
        <x:v>76</x:v>
      </x:c>
      <x:c r="D8" s="11" t="str">
        <x:v>Por admitir</x:v>
      </x:c>
      <x:c r="E8" s="13" t="n">
        <x:f>MAX(E5-E7-E9,0)</x:f>
        <x:v>366</x:v>
      </x:c>
    </x:row>
    <x:row r="9">
      <x:c r="A9" s="11" t="str">
        <x:v>Matrícula académica</x:v>
      </x:c>
      <x:c r="B9" s="13" t="n">
        <x:f>SUM('Consolidado por programa'!E5:E31)</x:f>
        <x:v>568</x:v>
      </x:c>
      <x:c r="D9" s="11" t="str">
        <x:v>Rechazados</x:v>
      </x:c>
      <x:c r="E9" s="13" t="n">
        <x:v>1</x:v>
      </x:c>
    </x:row>
    <x:row r="11">
      <x:c r="A11" s="18" t="str">
        <x:v>Lectura: 487 estudiantes han completado la matrícula financiera. Las 568 matrículas académicas de primer nivel representan 81 estudiantes de diferencia respecto al pago y funcionan como indicador complementario de proximidad.</x:v>
      </x:c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</x:sheetData>
  <x:mergeCells>
    <x:mergeCell ref="A1:F1"/>
    <x:mergeCell ref="A2:F2"/>
    <x:mergeCell ref="A11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32" customHeight="1">
      <x:c r="A1" s="3" t="str">
        <x:v>Consolidado por programa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Metas, matrícula financiera y matrícula académica · Periodo 2026-2 · Corte 18 de agosto de 2026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21" t="str">
        <x:v>Programa</x:v>
      </x:c>
      <x:c r="B4" s="22" t="str">
        <x:v>Meta institucional</x:v>
      </x:c>
      <x:c r="C4" s="22" t="str">
        <x:v>Meta online</x:v>
      </x:c>
      <x:c r="D4" s="22" t="str">
        <x:v>Matrícula financiera</x:v>
      </x:c>
      <x:c r="E4" s="22" t="str">
        <x:v>Matrícula académica</x:v>
      </x:c>
      <x:c r="F4" s="22" t="str">
        <x:v>Brecha académica-financiera</x:v>
      </x:c>
      <x:c r="G4" s="22" t="str">
        <x:v>Cumplimiento financiero</x:v>
      </x:c>
      <x:c r="H4" s="22" t="str">
        <x:v>Faltantes</x:v>
      </x:c>
      <x:c r="I4" s="22" t="str">
        <x:v>Estado</x:v>
      </x:c>
      <x:c r="J4" s="23" t="str">
        <x:v>Fuente</x:v>
      </x:c>
    </x:row>
    <x:row r="5">
      <x:c r="A5" s="24" t="str">
        <x:v>Administración Ambiental</x:v>
      </x:c>
      <x:c r="B5" s="25" t="n">
        <x:v>0</x:v>
      </x:c>
      <x:c r="C5" s="25" t="n">
        <x:f>ROUND(B5*20%,0)</x:f>
        <x:v>0</x:v>
      </x:c>
      <x:c r="D5" s="25"/>
      <x:c r="E5" s="25" t="n">
        <x:v>0</x:v>
      </x:c>
      <x:c r="F5" s="25" t="str">
        <x:f>IF(D5="","",E5-D5)</x:f>
      </x:c>
      <x:c r="G5" s="26" t="str">
        <x:f>IF(OR(B5=0,D5=""),"",D5/B5)</x:f>
      </x:c>
      <x:c r="H5" s="25" t="str">
        <x:f>IF(OR(B5=0,D5=""),"",MAX(B5-D5,0))</x:f>
      </x:c>
      <x:c r="I5" s="27" t="str">
        <x:f>IF(B5=0,"Sin meta",IF(D5="","Sin dato financiero",IF(D5&gt;B5,"Superada",IF(D5=B5,"Cumplida",IF(D5/B5&gt;=0.8,"Cerca",IF(D5/B5&gt;=0.5,"En progreso","Rezagada"))))))</x:f>
        <x:v>Sin meta</x:v>
      </x:c>
      <x:c r="J5" s="28" t="str">
        <x:v>MATR83 + EINR41 PS/RC · 18-08-2026</x:v>
      </x:c>
    </x:row>
    <x:row r="6">
      <x:c r="A6" s="24" t="str">
        <x:v>Administración de Empresas</x:v>
      </x:c>
      <x:c r="B6" s="25" t="n">
        <x:v>35</x:v>
      </x:c>
      <x:c r="C6" s="25" t="n">
        <x:f>ROUND(B6*20%,0)</x:f>
        <x:v>7</x:v>
      </x:c>
      <x:c r="D6" s="25" t="n">
        <x:v>35</x:v>
      </x:c>
      <x:c r="E6" s="25" t="n">
        <x:v>43</x:v>
      </x:c>
      <x:c r="F6" s="25" t="n">
        <x:f>IF(D6="","",E6-D6)</x:f>
        <x:v>8</x:v>
      </x:c>
      <x:c r="G6" s="26" t="n">
        <x:f>IF(OR(B6=0,D6=""),"",D6/B6)</x:f>
        <x:v>1</x:v>
      </x:c>
      <x:c r="H6" s="25" t="n">
        <x:f>IF(OR(B6=0,D6=""),"",MAX(B6-D6,0))</x:f>
        <x:v>0</x:v>
      </x:c>
      <x:c r="I6" s="27" t="str">
        <x:f>IF(B6=0,"Sin meta",IF(D6="","Sin dato financiero",IF(D6&gt;B6,"Superada",IF(D6=B6,"Cumplida",IF(D6/B6&gt;=0.8,"Cerca",IF(D6/B6&gt;=0.5,"En progreso","Rezagada"))))))</x:f>
        <x:v>Cumplida</x:v>
      </x:c>
      <x:c r="J6" s="28" t="str">
        <x:v>MATR83 + EINR41 PS/RC · 18-08-2026</x:v>
      </x:c>
    </x:row>
    <x:row r="7">
      <x:c r="A7" s="24" t="str">
        <x:v>Administración de Empresas Virtual</x:v>
      </x:c>
      <x:c r="B7" s="25" t="n">
        <x:v>0</x:v>
      </x:c>
      <x:c r="C7" s="25" t="n">
        <x:f>ROUND(B7*20%,0)</x:f>
        <x:v>0</x:v>
      </x:c>
      <x:c r="D7" s="25"/>
      <x:c r="E7" s="25" t="n">
        <x:v>0</x:v>
      </x:c>
      <x:c r="F7" s="25" t="str">
        <x:f>IF(D7="","",E7-D7)</x:f>
      </x:c>
      <x:c r="G7" s="26" t="str">
        <x:f>IF(OR(B7=0,D7=""),"",D7/B7)</x:f>
      </x:c>
      <x:c r="H7" s="25" t="str">
        <x:f>IF(OR(B7=0,D7=""),"",MAX(B7-D7,0))</x:f>
      </x:c>
      <x:c r="I7" s="27" t="str">
        <x:f>IF(B7=0,"Sin meta",IF(D7="","Sin dato financiero",IF(D7&gt;B7,"Superada",IF(D7=B7,"Cumplida",IF(D7/B7&gt;=0.8,"Cerca",IF(D7/B7&gt;=0.5,"En progreso","Rezagada"))))))</x:f>
        <x:v>Sin meta</x:v>
      </x:c>
      <x:c r="J7" s="28" t="str">
        <x:v>MATR83 + EINR41 PS/RC · 18-08-2026</x:v>
      </x:c>
    </x:row>
    <x:row r="8">
      <x:c r="A8" s="24" t="str">
        <x:v>Administración de Servicios de Salud</x:v>
      </x:c>
      <x:c r="B8" s="25" t="n">
        <x:v>8</x:v>
      </x:c>
      <x:c r="C8" s="25" t="n">
        <x:f>ROUND(B8*20%,0)</x:f>
        <x:v>2</x:v>
      </x:c>
      <x:c r="D8" s="25" t="n">
        <x:v>14</x:v>
      </x:c>
      <x:c r="E8" s="25" t="n">
        <x:v>15</x:v>
      </x:c>
      <x:c r="F8" s="25" t="n">
        <x:f>IF(D8="","",E8-D8)</x:f>
        <x:v>1</x:v>
      </x:c>
      <x:c r="G8" s="26" t="n">
        <x:f>IF(OR(B8=0,D8=""),"",D8/B8)</x:f>
        <x:v>1.75</x:v>
      </x:c>
      <x:c r="H8" s="25" t="n">
        <x:f>IF(OR(B8=0,D8=""),"",MAX(B8-D8,0))</x:f>
        <x:v>0</x:v>
      </x:c>
      <x:c r="I8" s="27" t="str">
        <x:f>IF(B8=0,"Sin meta",IF(D8="","Sin dato financiero",IF(D8&gt;B8,"Superada",IF(D8=B8,"Cumplida",IF(D8/B8&gt;=0.8,"Cerca",IF(D8/B8&gt;=0.5,"En progreso","Rezagada"))))))</x:f>
        <x:v>Superada</x:v>
      </x:c>
      <x:c r="J8" s="28" t="str">
        <x:v>MATR83 + EINR41 PS/RC · 18-08-2026</x:v>
      </x:c>
    </x:row>
    <x:row r="9">
      <x:c r="A9" s="24" t="str">
        <x:v>Arquitectura</x:v>
      </x:c>
      <x:c r="B9" s="25" t="n">
        <x:v>36</x:v>
      </x:c>
      <x:c r="C9" s="25" t="n">
        <x:f>ROUND(B9*20%,0)</x:f>
        <x:v>7</x:v>
      </x:c>
      <x:c r="D9" s="25" t="n">
        <x:v>20</x:v>
      </x:c>
      <x:c r="E9" s="25" t="n">
        <x:v>33</x:v>
      </x:c>
      <x:c r="F9" s="25" t="n">
        <x:f>IF(D9="","",E9-D9)</x:f>
        <x:v>13</x:v>
      </x:c>
      <x:c r="G9" s="26" t="n">
        <x:f>IF(OR(B9=0,D9=""),"",D9/B9)</x:f>
        <x:v>0.5555555555555556</x:v>
      </x:c>
      <x:c r="H9" s="25" t="n">
        <x:f>IF(OR(B9=0,D9=""),"",MAX(B9-D9,0))</x:f>
        <x:v>16</x:v>
      </x:c>
      <x:c r="I9" s="27" t="str">
        <x:f>IF(B9=0,"Sin meta",IF(D9="","Sin dato financiero",IF(D9&gt;B9,"Superada",IF(D9=B9,"Cumplida",IF(D9/B9&gt;=0.8,"Cerca",IF(D9/B9&gt;=0.5,"En progreso","Rezagada"))))))</x:f>
        <x:v>En progreso</x:v>
      </x:c>
      <x:c r="J9" s="28" t="str">
        <x:v>MATR83 + EINR41 PS/RC · 18-08-2026</x:v>
      </x:c>
    </x:row>
    <x:row r="10">
      <x:c r="A10" s="24" t="str">
        <x:v>Banca y Finanzas</x:v>
      </x:c>
      <x:c r="B10" s="25" t="n">
        <x:v>0</x:v>
      </x:c>
      <x:c r="C10" s="25" t="n">
        <x:f>ROUND(B10*20%,0)</x:f>
        <x:v>0</x:v>
      </x:c>
      <x:c r="D10" s="25"/>
      <x:c r="E10" s="25" t="n">
        <x:v>0</x:v>
      </x:c>
      <x:c r="F10" s="25" t="str">
        <x:f>IF(D10="","",E10-D10)</x:f>
      </x:c>
      <x:c r="G10" s="26" t="str">
        <x:f>IF(OR(B10=0,D10=""),"",D10/B10)</x:f>
      </x:c>
      <x:c r="H10" s="25" t="str">
        <x:f>IF(OR(B10=0,D10=""),"",MAX(B10-D10,0))</x:f>
      </x:c>
      <x:c r="I10" s="27" t="str">
        <x:f>IF(B10=0,"Sin meta",IF(D10="","Sin dato financiero",IF(D10&gt;B10,"Superada",IF(D10=B10,"Cumplida",IF(D10/B10&gt;=0.8,"Cerca",IF(D10/B10&gt;=0.5,"En progreso","Rezagada"))))))</x:f>
        <x:v>Sin meta</x:v>
      </x:c>
      <x:c r="J10" s="28" t="str">
        <x:v>MATR83 + EINR41 PS/RC · 18-08-2026</x:v>
      </x:c>
    </x:row>
    <x:row r="11">
      <x:c r="A11" s="24" t="str">
        <x:v>Comunicación Social y Medios Digitales</x:v>
      </x:c>
      <x:c r="B11" s="25" t="n">
        <x:v>20</x:v>
      </x:c>
      <x:c r="C11" s="25" t="n">
        <x:f>ROUND(B11*20%,0)</x:f>
        <x:v>4</x:v>
      </x:c>
      <x:c r="D11" s="25" t="n">
        <x:v>25</x:v>
      </x:c>
      <x:c r="E11" s="25" t="n">
        <x:v>26</x:v>
      </x:c>
      <x:c r="F11" s="25" t="n">
        <x:f>IF(D11="","",E11-D11)</x:f>
        <x:v>1</x:v>
      </x:c>
      <x:c r="G11" s="26" t="n">
        <x:f>IF(OR(B11=0,D11=""),"",D11/B11)</x:f>
        <x:v>1.25</x:v>
      </x:c>
      <x:c r="H11" s="25" t="n">
        <x:f>IF(OR(B11=0,D11=""),"",MAX(B11-D11,0))</x:f>
        <x:v>0</x:v>
      </x:c>
      <x:c r="I11" s="27" t="str">
        <x:f>IF(B11=0,"Sin meta",IF(D11="","Sin dato financiero",IF(D11&gt;B11,"Superada",IF(D11=B11,"Cumplida",IF(D11/B11&gt;=0.8,"Cerca",IF(D11/B11&gt;=0.5,"En progreso","Rezagada"))))))</x:f>
        <x:v>Superada</x:v>
      </x:c>
      <x:c r="J11" s="28" t="str">
        <x:v>MATR83 + EINR41 PS/RC · 18-08-2026</x:v>
      </x:c>
    </x:row>
    <x:row r="12">
      <x:c r="A12" s="24" t="str">
        <x:v>Contaduría Pública</x:v>
      </x:c>
      <x:c r="B12" s="25" t="n">
        <x:v>22</x:v>
      </x:c>
      <x:c r="C12" s="25" t="n">
        <x:f>ROUND(B12*20%,0)</x:f>
        <x:v>4</x:v>
      </x:c>
      <x:c r="D12" s="25" t="n">
        <x:v>30</x:v>
      </x:c>
      <x:c r="E12" s="25" t="n">
        <x:v>34</x:v>
      </x:c>
      <x:c r="F12" s="25" t="n">
        <x:f>IF(D12="","",E12-D12)</x:f>
        <x:v>4</x:v>
      </x:c>
      <x:c r="G12" s="26" t="n">
        <x:f>IF(OR(B12=0,D12=""),"",D12/B12)</x:f>
        <x:v>1.3636363636363635</x:v>
      </x:c>
      <x:c r="H12" s="25" t="n">
        <x:f>IF(OR(B12=0,D12=""),"",MAX(B12-D12,0))</x:f>
        <x:v>0</x:v>
      </x:c>
      <x:c r="I12" s="27" t="str">
        <x:f>IF(B12=0,"Sin meta",IF(D12="","Sin dato financiero",IF(D12&gt;B12,"Superada",IF(D12=B12,"Cumplida",IF(D12/B12&gt;=0.8,"Cerca",IF(D12/B12&gt;=0.5,"En progreso","Rezagada"))))))</x:f>
        <x:v>Superada</x:v>
      </x:c>
      <x:c r="J12" s="28" t="str">
        <x:v>MATR83 + EINR41 PS/RC · 18-08-2026</x:v>
      </x:c>
    </x:row>
    <x:row r="13">
      <x:c r="A13" s="24" t="str">
        <x:v>Creación y Diseño</x:v>
      </x:c>
      <x:c r="B13" s="25" t="n">
        <x:v>8</x:v>
      </x:c>
      <x:c r="C13" s="25" t="n">
        <x:f>ROUND(B13*20%,0)</x:f>
        <x:v>2</x:v>
      </x:c>
      <x:c r="D13" s="25" t="n">
        <x:v>9</x:v>
      </x:c>
      <x:c r="E13" s="25" t="n">
        <x:v>10</x:v>
      </x:c>
      <x:c r="F13" s="25" t="n">
        <x:f>IF(D13="","",E13-D13)</x:f>
        <x:v>1</x:v>
      </x:c>
      <x:c r="G13" s="26" t="n">
        <x:f>IF(OR(B13=0,D13=""),"",D13/B13)</x:f>
        <x:v>1.125</x:v>
      </x:c>
      <x:c r="H13" s="25" t="n">
        <x:f>IF(OR(B13=0,D13=""),"",MAX(B13-D13,0))</x:f>
        <x:v>0</x:v>
      </x:c>
      <x:c r="I13" s="27" t="str">
        <x:f>IF(B13=0,"Sin meta",IF(D13="","Sin dato financiero",IF(D13&gt;B13,"Superada",IF(D13=B13,"Cumplida",IF(D13/B13&gt;=0.8,"Cerca",IF(D13/B13&gt;=0.5,"En progreso","Rezagada"))))))</x:f>
        <x:v>Superada</x:v>
      </x:c>
      <x:c r="J13" s="28" t="str">
        <x:v>MATR83 + EINR41 PS/RC · 18-08-2026</x:v>
      </x:c>
    </x:row>
    <x:row r="14">
      <x:c r="A14" s="24" t="str">
        <x:v>Derecho</x:v>
      </x:c>
      <x:c r="B14" s="25" t="n">
        <x:v>35</x:v>
      </x:c>
      <x:c r="C14" s="25" t="n">
        <x:f>ROUND(B14*20%,0)</x:f>
        <x:v>7</x:v>
      </x:c>
      <x:c r="D14" s="25" t="n">
        <x:v>17</x:v>
      </x:c>
      <x:c r="E14" s="25" t="n">
        <x:v>21</x:v>
      </x:c>
      <x:c r="F14" s="25" t="n">
        <x:f>IF(D14="","",E14-D14)</x:f>
        <x:v>4</x:v>
      </x:c>
      <x:c r="G14" s="26" t="n">
        <x:f>IF(OR(B14=0,D14=""),"",D14/B14)</x:f>
        <x:v>0.4857142857142857</x:v>
      </x:c>
      <x:c r="H14" s="25" t="n">
        <x:f>IF(OR(B14=0,D14=""),"",MAX(B14-D14,0))</x:f>
        <x:v>18</x:v>
      </x:c>
      <x:c r="I14" s="27" t="str">
        <x:f>IF(B14=0,"Sin meta",IF(D14="","Sin dato financiero",IF(D14&gt;B14,"Superada",IF(D14=B14,"Cumplida",IF(D14/B14&gt;=0.8,"Cerca",IF(D14/B14&gt;=0.5,"En progreso","Rezagada"))))))</x:f>
        <x:v>Rezagada</x:v>
      </x:c>
      <x:c r="J14" s="28" t="str">
        <x:v>MATR83 + EINR41 PS/RC · 18-08-2026</x:v>
      </x:c>
    </x:row>
    <x:row r="15">
      <x:c r="A15" s="24" t="str">
        <x:v>Derecho Villavicencio</x:v>
      </x:c>
      <x:c r="B15" s="25" t="n">
        <x:v>7</x:v>
      </x:c>
      <x:c r="C15" s="25" t="n">
        <x:f>ROUND(B15*20%,0)</x:f>
        <x:v>1</x:v>
      </x:c>
      <x:c r="D15" s="25" t="n">
        <x:v>8</x:v>
      </x:c>
      <x:c r="E15" s="25" t="n">
        <x:v>9</x:v>
      </x:c>
      <x:c r="F15" s="25" t="n">
        <x:f>IF(D15="","",E15-D15)</x:f>
        <x:v>1</x:v>
      </x:c>
      <x:c r="G15" s="26" t="n">
        <x:f>IF(OR(B15=0,D15=""),"",D15/B15)</x:f>
        <x:v>1.1428571428571428</x:v>
      </x:c>
      <x:c r="H15" s="25" t="n">
        <x:f>IF(OR(B15=0,D15=""),"",MAX(B15-D15,0))</x:f>
        <x:v>0</x:v>
      </x:c>
      <x:c r="I15" s="27" t="str">
        <x:f>IF(B15=0,"Sin meta",IF(D15="","Sin dato financiero",IF(D15&gt;B15,"Superada",IF(D15=B15,"Cumplida",IF(D15/B15&gt;=0.8,"Cerca",IF(D15/B15&gt;=0.5,"En progreso","Rezagada"))))))</x:f>
        <x:v>Superada</x:v>
      </x:c>
      <x:c r="J15" s="28" t="str">
        <x:v>MATR83 + EINR41 PS/RC · 18-08-2026</x:v>
      </x:c>
    </x:row>
    <x:row r="16">
      <x:c r="A16" s="24" t="str">
        <x:v>Ingeniería Ambiental</x:v>
      </x:c>
      <x:c r="B16" s="25" t="n">
        <x:v>12</x:v>
      </x:c>
      <x:c r="C16" s="25" t="n">
        <x:f>ROUND(B16*20%,0)</x:f>
        <x:v>2</x:v>
      </x:c>
      <x:c r="D16" s="25" t="n">
        <x:v>6</x:v>
      </x:c>
      <x:c r="E16" s="25" t="n">
        <x:v>6</x:v>
      </x:c>
      <x:c r="F16" s="25" t="n">
        <x:f>IF(D16="","",E16-D16)</x:f>
        <x:v>0</x:v>
      </x:c>
      <x:c r="G16" s="26" t="n">
        <x:f>IF(OR(B16=0,D16=""),"",D16/B16)</x:f>
        <x:v>0.5</x:v>
      </x:c>
      <x:c r="H16" s="25" t="n">
        <x:f>IF(OR(B16=0,D16=""),"",MAX(B16-D16,0))</x:f>
        <x:v>6</x:v>
      </x:c>
      <x:c r="I16" s="27" t="str">
        <x:f>IF(B16=0,"Sin meta",IF(D16="","Sin dato financiero",IF(D16&gt;B16,"Superada",IF(D16=B16,"Cumplida",IF(D16/B16&gt;=0.8,"Cerca",IF(D16/B16&gt;=0.5,"En progreso","Rezagada"))))))</x:f>
        <x:v>En progreso</x:v>
      </x:c>
      <x:c r="J16" s="28" t="str">
        <x:v>MATR83 + EINR41 PS/RC · 18-08-2026</x:v>
      </x:c>
    </x:row>
    <x:row r="17">
      <x:c r="A17" s="24" t="str">
        <x:v>Ingeniería Civil</x:v>
      </x:c>
      <x:c r="B17" s="25" t="n">
        <x:v>48</x:v>
      </x:c>
      <x:c r="C17" s="25" t="n">
        <x:f>ROUND(B17*20%,0)</x:f>
        <x:v>10</x:v>
      </x:c>
      <x:c r="D17" s="25" t="n">
        <x:v>36</x:v>
      </x:c>
      <x:c r="E17" s="25" t="n">
        <x:v>43</x:v>
      </x:c>
      <x:c r="F17" s="25" t="n">
        <x:f>IF(D17="","",E17-D17)</x:f>
        <x:v>7</x:v>
      </x:c>
      <x:c r="G17" s="26" t="n">
        <x:f>IF(OR(B17=0,D17=""),"",D17/B17)</x:f>
        <x:v>0.75</x:v>
      </x:c>
      <x:c r="H17" s="25" t="n">
        <x:f>IF(OR(B17=0,D17=""),"",MAX(B17-D17,0))</x:f>
        <x:v>12</x:v>
      </x:c>
      <x:c r="I17" s="27" t="str">
        <x:f>IF(B17=0,"Sin meta",IF(D17="","Sin dato financiero",IF(D17&gt;B17,"Superada",IF(D17=B17,"Cumplida",IF(D17/B17&gt;=0.8,"Cerca",IF(D17/B17&gt;=0.5,"En progreso","Rezagada"))))))</x:f>
        <x:v>En progreso</x:v>
      </x:c>
      <x:c r="J17" s="28" t="str">
        <x:v>MATR83 + EINR41 PS/RC · 18-08-2026</x:v>
      </x:c>
    </x:row>
    <x:row r="18">
      <x:c r="A18" s="24" t="str">
        <x:v>Ingeniería de Sistemas</x:v>
      </x:c>
      <x:c r="B18" s="25" t="n">
        <x:v>60</x:v>
      </x:c>
      <x:c r="C18" s="25" t="n">
        <x:f>ROUND(B18*20%,0)</x:f>
        <x:v>12</x:v>
      </x:c>
      <x:c r="D18" s="25" t="n">
        <x:v>39</x:v>
      </x:c>
      <x:c r="E18" s="25" t="n">
        <x:v>55</x:v>
      </x:c>
      <x:c r="F18" s="25" t="n">
        <x:f>IF(D18="","",E18-D18)</x:f>
        <x:v>16</x:v>
      </x:c>
      <x:c r="G18" s="26" t="n">
        <x:f>IF(OR(B18=0,D18=""),"",D18/B18)</x:f>
        <x:v>0.65</x:v>
      </x:c>
      <x:c r="H18" s="25" t="n">
        <x:f>IF(OR(B18=0,D18=""),"",MAX(B18-D18,0))</x:f>
        <x:v>21</x:v>
      </x:c>
      <x:c r="I18" s="27" t="str">
        <x:f>IF(B18=0,"Sin meta",IF(D18="","Sin dato financiero",IF(D18&gt;B18,"Superada",IF(D18=B18,"Cumplida",IF(D18/B18&gt;=0.8,"Cerca",IF(D18/B18&gt;=0.5,"En progreso","Rezagada"))))))</x:f>
        <x:v>En progreso</x:v>
      </x:c>
      <x:c r="J18" s="28" t="str">
        <x:v>MATR83 + EINR41 PS/RC · 18-08-2026</x:v>
      </x:c>
    </x:row>
    <x:row r="19">
      <x:c r="A19" s="24" t="str">
        <x:v>Ingeniería Eléctrica</x:v>
      </x:c>
      <x:c r="B19" s="25" t="n">
        <x:v>20</x:v>
      </x:c>
      <x:c r="C19" s="25" t="n">
        <x:f>ROUND(B19*20%,0)</x:f>
        <x:v>4</x:v>
      </x:c>
      <x:c r="D19" s="25" t="n">
        <x:v>11</x:v>
      </x:c>
      <x:c r="E19" s="25" t="n">
        <x:v>14</x:v>
      </x:c>
      <x:c r="F19" s="25" t="n">
        <x:f>IF(D19="","",E19-D19)</x:f>
        <x:v>3</x:v>
      </x:c>
      <x:c r="G19" s="26" t="n">
        <x:f>IF(OR(B19=0,D19=""),"",D19/B19)</x:f>
        <x:v>0.55</x:v>
      </x:c>
      <x:c r="H19" s="25" t="n">
        <x:f>IF(OR(B19=0,D19=""),"",MAX(B19-D19,0))</x:f>
        <x:v>9</x:v>
      </x:c>
      <x:c r="I19" s="27" t="str">
        <x:f>IF(B19=0,"Sin meta",IF(D19="","Sin dato financiero",IF(D19&gt;B19,"Superada",IF(D19=B19,"Cumplida",IF(D19/B19&gt;=0.8,"Cerca",IF(D19/B19&gt;=0.5,"En progreso","Rezagada"))))))</x:f>
        <x:v>En progreso</x:v>
      </x:c>
      <x:c r="J19" s="28" t="str">
        <x:v>MATR83 + EINR41 PS/RC · 18-08-2026</x:v>
      </x:c>
    </x:row>
    <x:row r="20">
      <x:c r="A20" s="24" t="str">
        <x:v>Ingeniería Electrónica</x:v>
      </x:c>
      <x:c r="B20" s="25" t="n">
        <x:v>12</x:v>
      </x:c>
      <x:c r="C20" s="25" t="n">
        <x:f>ROUND(B20*20%,0)</x:f>
        <x:v>2</x:v>
      </x:c>
      <x:c r="D20" s="25" t="n">
        <x:v>9</x:v>
      </x:c>
      <x:c r="E20" s="25" t="n">
        <x:v>9</x:v>
      </x:c>
      <x:c r="F20" s="25" t="n">
        <x:f>IF(D20="","",E20-D20)</x:f>
        <x:v>0</x:v>
      </x:c>
      <x:c r="G20" s="26" t="n">
        <x:f>IF(OR(B20=0,D20=""),"",D20/B20)</x:f>
        <x:v>0.75</x:v>
      </x:c>
      <x:c r="H20" s="25" t="n">
        <x:f>IF(OR(B20=0,D20=""),"",MAX(B20-D20,0))</x:f>
        <x:v>3</x:v>
      </x:c>
      <x:c r="I20" s="27" t="str">
        <x:f>IF(B20=0,"Sin meta",IF(D20="","Sin dato financiero",IF(D20&gt;B20,"Superada",IF(D20=B20,"Cumplida",IF(D20/B20&gt;=0.8,"Cerca",IF(D20/B20&gt;=0.5,"En progreso","Rezagada"))))))</x:f>
        <x:v>En progreso</x:v>
      </x:c>
      <x:c r="J20" s="28" t="str">
        <x:v>MATR83 + EINR41 PS/RC · 18-08-2026</x:v>
      </x:c>
    </x:row>
    <x:row r="21">
      <x:c r="A21" s="24" t="str">
        <x:v>Ingeniería Industrial</x:v>
      </x:c>
      <x:c r="B21" s="25" t="n">
        <x:v>30</x:v>
      </x:c>
      <x:c r="C21" s="25" t="n">
        <x:f>ROUND(B21*20%,0)</x:f>
        <x:v>6</x:v>
      </x:c>
      <x:c r="D21" s="25" t="n">
        <x:v>29</x:v>
      </x:c>
      <x:c r="E21" s="25" t="n">
        <x:v>31</x:v>
      </x:c>
      <x:c r="F21" s="25" t="n">
        <x:f>IF(D21="","",E21-D21)</x:f>
        <x:v>2</x:v>
      </x:c>
      <x:c r="G21" s="26" t="n">
        <x:f>IF(OR(B21=0,D21=""),"",D21/B21)</x:f>
        <x:v>0.9666666666666667</x:v>
      </x:c>
      <x:c r="H21" s="25" t="n">
        <x:f>IF(OR(B21=0,D21=""),"",MAX(B21-D21,0))</x:f>
        <x:v>1</x:v>
      </x:c>
      <x:c r="I21" s="27" t="str">
        <x:f>IF(B21=0,"Sin meta",IF(D21="","Sin dato financiero",IF(D21&gt;B21,"Superada",IF(D21=B21,"Cumplida",IF(D21/B21&gt;=0.8,"Cerca",IF(D21/B21&gt;=0.5,"En progreso","Rezagada"))))))</x:f>
        <x:v>Cerca</x:v>
      </x:c>
      <x:c r="J21" s="28" t="str">
        <x:v>MATR83 + EINR41 PS/RC · 18-08-2026</x:v>
      </x:c>
    </x:row>
    <x:row r="22">
      <x:c r="A22" s="24" t="str">
        <x:v>Ingeniería Mecánica</x:v>
      </x:c>
      <x:c r="B22" s="25" t="n">
        <x:v>23</x:v>
      </x:c>
      <x:c r="C22" s="25" t="n">
        <x:f>ROUND(B22*20%,0)</x:f>
        <x:v>5</x:v>
      </x:c>
      <x:c r="D22" s="25" t="n">
        <x:v>9</x:v>
      </x:c>
      <x:c r="E22" s="25" t="n">
        <x:v>11</x:v>
      </x:c>
      <x:c r="F22" s="25" t="n">
        <x:f>IF(D22="","",E22-D22)</x:f>
        <x:v>2</x:v>
      </x:c>
      <x:c r="G22" s="26" t="n">
        <x:f>IF(OR(B22=0,D22=""),"",D22/B22)</x:f>
        <x:v>0.391304347826087</x:v>
      </x:c>
      <x:c r="H22" s="25" t="n">
        <x:f>IF(OR(B22=0,D22=""),"",MAX(B22-D22,0))</x:f>
        <x:v>14</x:v>
      </x:c>
      <x:c r="I22" s="27" t="str">
        <x:f>IF(B22=0,"Sin meta",IF(D22="","Sin dato financiero",IF(D22&gt;B22,"Superada",IF(D22=B22,"Cumplida",IF(D22/B22&gt;=0.8,"Cerca",IF(D22/B22&gt;=0.5,"En progreso","Rezagada"))))))</x:f>
        <x:v>Rezagada</x:v>
      </x:c>
      <x:c r="J22" s="28" t="str">
        <x:v>MATR83 + EINR41 PS/RC · 18-08-2026</x:v>
      </x:c>
    </x:row>
    <x:row r="23">
      <x:c r="A23" s="24" t="str">
        <x:v>Licenciatura en Educación Básica Primaria</x:v>
      </x:c>
      <x:c r="B23" s="25" t="n">
        <x:v>0</x:v>
      </x:c>
      <x:c r="C23" s="25" t="n">
        <x:f>ROUND(B23*20%,0)</x:f>
        <x:v>0</x:v>
      </x:c>
      <x:c r="D23" s="25"/>
      <x:c r="E23" s="25" t="n">
        <x:v>0</x:v>
      </x:c>
      <x:c r="F23" s="25" t="str">
        <x:f>IF(D23="","",E23-D23)</x:f>
      </x:c>
      <x:c r="G23" s="26" t="str">
        <x:f>IF(OR(B23=0,D23=""),"",D23/B23)</x:f>
      </x:c>
      <x:c r="H23" s="25" t="str">
        <x:f>IF(OR(B23=0,D23=""),"",MAX(B23-D23,0))</x:f>
      </x:c>
      <x:c r="I23" s="27" t="str">
        <x:f>IF(B23=0,"Sin meta",IF(D23="","Sin dato financiero",IF(D23&gt;B23,"Superada",IF(D23=B23,"Cumplida",IF(D23/B23&gt;=0.8,"Cerca",IF(D23/B23&gt;=0.5,"En progreso","Rezagada"))))))</x:f>
        <x:v>Sin meta</x:v>
      </x:c>
      <x:c r="J23" s="28" t="str">
        <x:v>MATR83 + EINR41 PS/RC · 18-08-2026</x:v>
      </x:c>
    </x:row>
    <x:row r="24">
      <x:c r="A24" s="24" t="str">
        <x:v>Mercadeo y Publicidad</x:v>
      </x:c>
      <x:c r="B24" s="25" t="n">
        <x:v>27</x:v>
      </x:c>
      <x:c r="C24" s="25" t="n">
        <x:f>ROUND(B24*20%,0)</x:f>
        <x:v>5</x:v>
      </x:c>
      <x:c r="D24" s="25" t="n">
        <x:v>36</x:v>
      </x:c>
      <x:c r="E24" s="25" t="n">
        <x:v>38</x:v>
      </x:c>
      <x:c r="F24" s="25" t="n">
        <x:f>IF(D24="","",E24-D24)</x:f>
        <x:v>2</x:v>
      </x:c>
      <x:c r="G24" s="26" t="n">
        <x:f>IF(OR(B24=0,D24=""),"",D24/B24)</x:f>
        <x:v>1.3333333333333333</x:v>
      </x:c>
      <x:c r="H24" s="25" t="n">
        <x:f>IF(OR(B24=0,D24=""),"",MAX(B24-D24,0))</x:f>
        <x:v>0</x:v>
      </x:c>
      <x:c r="I24" s="27" t="str">
        <x:f>IF(B24=0,"Sin meta",IF(D24="","Sin dato financiero",IF(D24&gt;B24,"Superada",IF(D24=B24,"Cumplida",IF(D24/B24&gt;=0.8,"Cerca",IF(D24/B24&gt;=0.5,"En progreso","Rezagada"))))))</x:f>
        <x:v>Superada</x:v>
      </x:c>
      <x:c r="J24" s="28" t="str">
        <x:v>MATR83 + EINR41 PS/RC · 18-08-2026</x:v>
      </x:c>
    </x:row>
    <x:row r="25">
      <x:c r="A25" s="24" t="str">
        <x:v>Negocios Internacionales</x:v>
      </x:c>
      <x:c r="B25" s="25" t="n">
        <x:v>40</x:v>
      </x:c>
      <x:c r="C25" s="25" t="n">
        <x:f>ROUND(B25*20%,0)</x:f>
        <x:v>8</x:v>
      </x:c>
      <x:c r="D25" s="25" t="n">
        <x:v>48</x:v>
      </x:c>
      <x:c r="E25" s="25" t="n">
        <x:v>55</x:v>
      </x:c>
      <x:c r="F25" s="25" t="n">
        <x:f>IF(D25="","",E25-D25)</x:f>
        <x:v>7</x:v>
      </x:c>
      <x:c r="G25" s="26" t="n">
        <x:f>IF(OR(B25=0,D25=""),"",D25/B25)</x:f>
        <x:v>1.2</x:v>
      </x:c>
      <x:c r="H25" s="25" t="n">
        <x:f>IF(OR(B25=0,D25=""),"",MAX(B25-D25,0))</x:f>
        <x:v>0</x:v>
      </x:c>
      <x:c r="I25" s="27" t="str">
        <x:f>IF(B25=0,"Sin meta",IF(D25="","Sin dato financiero",IF(D25&gt;B25,"Superada",IF(D25=B25,"Cumplida",IF(D25/B25&gt;=0.8,"Cerca",IF(D25/B25&gt;=0.5,"En progreso","Rezagada"))))))</x:f>
        <x:v>Superada</x:v>
      </x:c>
      <x:c r="J25" s="28" t="str">
        <x:v>MATR83 + EINR41 PS/RC · 18-08-2026</x:v>
      </x:c>
    </x:row>
    <x:row r="26">
      <x:c r="A26" s="24" t="str">
        <x:v>Psicología</x:v>
      </x:c>
      <x:c r="B26" s="25" t="n">
        <x:v>40</x:v>
      </x:c>
      <x:c r="C26" s="25" t="n">
        <x:f>ROUND(B26*20%,0)</x:f>
        <x:v>8</x:v>
      </x:c>
      <x:c r="D26" s="25" t="n">
        <x:v>29</x:v>
      </x:c>
      <x:c r="E26" s="25" t="n">
        <x:v>33</x:v>
      </x:c>
      <x:c r="F26" s="25" t="n">
        <x:f>IF(D26="","",E26-D26)</x:f>
        <x:v>4</x:v>
      </x:c>
      <x:c r="G26" s="26" t="n">
        <x:f>IF(OR(B26=0,D26=""),"",D26/B26)</x:f>
        <x:v>0.725</x:v>
      </x:c>
      <x:c r="H26" s="25" t="n">
        <x:f>IF(OR(B26=0,D26=""),"",MAX(B26-D26,0))</x:f>
        <x:v>11</x:v>
      </x:c>
      <x:c r="I26" s="27" t="str">
        <x:f>IF(B26=0,"Sin meta",IF(D26="","Sin dato financiero",IF(D26&gt;B26,"Superada",IF(D26=B26,"Cumplida",IF(D26/B26&gt;=0.8,"Cerca",IF(D26/B26&gt;=0.5,"En progreso","Rezagada"))))))</x:f>
        <x:v>En progreso</x:v>
      </x:c>
      <x:c r="J26" s="28" t="str">
        <x:v>MATR83 + EINR41 PS/RC · 18-08-2026</x:v>
      </x:c>
    </x:row>
    <x:row r="27">
      <x:c r="A27" s="24" t="str">
        <x:v>Psicología Villavicencio</x:v>
      </x:c>
      <x:c r="B27" s="25" t="n">
        <x:v>2</x:v>
      </x:c>
      <x:c r="C27" s="25" t="n">
        <x:f>ROUND(B27*20%,0)</x:f>
        <x:v>0</x:v>
      </x:c>
      <x:c r="D27" s="25" t="n">
        <x:v>3</x:v>
      </x:c>
      <x:c r="E27" s="25" t="n">
        <x:v>3</x:v>
      </x:c>
      <x:c r="F27" s="25" t="n">
        <x:f>IF(D27="","",E27-D27)</x:f>
        <x:v>0</x:v>
      </x:c>
      <x:c r="G27" s="26" t="n">
        <x:f>IF(OR(B27=0,D27=""),"",D27/B27)</x:f>
        <x:v>1.5</x:v>
      </x:c>
      <x:c r="H27" s="25" t="n">
        <x:f>IF(OR(B27=0,D27=""),"",MAX(B27-D27,0))</x:f>
        <x:v>0</x:v>
      </x:c>
      <x:c r="I27" s="27" t="str">
        <x:f>IF(B27=0,"Sin meta",IF(D27="","Sin dato financiero",IF(D27&gt;B27,"Superada",IF(D27=B27,"Cumplida",IF(D27/B27&gt;=0.8,"Cerca",IF(D27/B27&gt;=0.5,"En progreso","Rezagada"))))))</x:f>
        <x:v>Superada</x:v>
      </x:c>
      <x:c r="J27" s="28" t="str">
        <x:v>MATR83 + EINR41 PS/RC · 18-08-2026</x:v>
      </x:c>
    </x:row>
    <x:row r="28">
      <x:c r="A28" s="24" t="str">
        <x:v>Técnico en Desarrollo de Software</x:v>
      </x:c>
      <x:c r="B28" s="25" t="n">
        <x:v>40</x:v>
      </x:c>
      <x:c r="C28" s="25" t="n">
        <x:f>ROUND(B28*20%,0)</x:f>
        <x:v>8</x:v>
      </x:c>
      <x:c r="D28" s="25" t="n">
        <x:v>34</x:v>
      </x:c>
      <x:c r="E28" s="25" t="n">
        <x:v>38</x:v>
      </x:c>
      <x:c r="F28" s="25" t="n">
        <x:f>IF(D28="","",E28-D28)</x:f>
        <x:v>4</x:v>
      </x:c>
      <x:c r="G28" s="26" t="n">
        <x:f>IF(OR(B28=0,D28=""),"",D28/B28)</x:f>
        <x:v>0.85</x:v>
      </x:c>
      <x:c r="H28" s="25" t="n">
        <x:f>IF(OR(B28=0,D28=""),"",MAX(B28-D28,0))</x:f>
        <x:v>6</x:v>
      </x:c>
      <x:c r="I28" s="27" t="str">
        <x:f>IF(B28=0,"Sin meta",IF(D28="","Sin dato financiero",IF(D28&gt;B28,"Superada",IF(D28=B28,"Cumplida",IF(D28/B28&gt;=0.8,"Cerca",IF(D28/B28&gt;=0.5,"En progreso","Rezagada"))))))</x:f>
        <x:v>Cerca</x:v>
      </x:c>
      <x:c r="J28" s="28" t="str">
        <x:v>MATR83 + EINR41 PS/RC · 18-08-2026</x:v>
      </x:c>
    </x:row>
    <x:row r="29">
      <x:c r="A29" s="24" t="str">
        <x:v>Técnico en Desarrollo de Software - Virtual</x:v>
      </x:c>
      <x:c r="B29" s="25" t="n">
        <x:v>8</x:v>
      </x:c>
      <x:c r="C29" s="25" t="n">
        <x:f>ROUND(B29*20%,0)</x:f>
        <x:v>2</x:v>
      </x:c>
      <x:c r="D29" s="25"/>
      <x:c r="E29" s="25" t="n">
        <x:v>1</x:v>
      </x:c>
      <x:c r="F29" s="25" t="str">
        <x:f>IF(D29="","",E29-D29)</x:f>
      </x:c>
      <x:c r="G29" s="26" t="str">
        <x:f>IF(OR(B29=0,D29=""),"",D29/B29)</x:f>
      </x:c>
      <x:c r="H29" s="25" t="str">
        <x:f>IF(OR(B29=0,D29=""),"",MAX(B29-D29,0))</x:f>
      </x:c>
      <x:c r="I29" s="27" t="str">
        <x:f>IF(B29=0,"Sin meta",IF(D29="","Sin dato financiero",IF(D29&gt;B29,"Superada",IF(D29=B29,"Cumplida",IF(D29/B29&gt;=0.8,"Cerca",IF(D29/B29&gt;=0.5,"En progreso","Rezagada"))))))</x:f>
        <x:v>Sin dato financiero</x:v>
      </x:c>
      <x:c r="J29" s="28" t="str">
        <x:v>MATR83 + EINR41 PS/RC · 18-08-2026</x:v>
      </x:c>
    </x:row>
    <x:row r="30">
      <x:c r="A30" s="24" t="str">
        <x:v>Técnico en Entrenamiento Deportivo</x:v>
      </x:c>
      <x:c r="B30" s="25" t="n">
        <x:v>10</x:v>
      </x:c>
      <x:c r="C30" s="25" t="n">
        <x:f>ROUND(B30*20%,0)</x:f>
        <x:v>2</x:v>
      </x:c>
      <x:c r="D30" s="25" t="n">
        <x:v>15</x:v>
      </x:c>
      <x:c r="E30" s="25" t="n">
        <x:v>15</x:v>
      </x:c>
      <x:c r="F30" s="25" t="n">
        <x:f>IF(D30="","",E30-D30)</x:f>
        <x:v>0</x:v>
      </x:c>
      <x:c r="G30" s="26" t="n">
        <x:f>IF(OR(B30=0,D30=""),"",D30/B30)</x:f>
        <x:v>1.5</x:v>
      </x:c>
      <x:c r="H30" s="25" t="n">
        <x:f>IF(OR(B30=0,D30=""),"",MAX(B30-D30,0))</x:f>
        <x:v>0</x:v>
      </x:c>
      <x:c r="I30" s="27" t="str">
        <x:f>IF(B30=0,"Sin meta",IF(D30="","Sin dato financiero",IF(D30&gt;B30,"Superada",IF(D30=B30,"Cumplida",IF(D30/B30&gt;=0.8,"Cerca",IF(D30/B30&gt;=0.5,"En progreso","Rezagada"))))))</x:f>
        <x:v>Superada</x:v>
      </x:c>
      <x:c r="J30" s="28" t="str">
        <x:v>MATR83 + EINR41 PS/RC · 18-08-2026</x:v>
      </x:c>
    </x:row>
    <x:row r="31">
      <x:c r="A31" s="29" t="str">
        <x:v>Medicina</x:v>
      </x:c>
      <x:c r="B31" s="30" t="n">
        <x:v>20</x:v>
      </x:c>
      <x:c r="C31" s="30" t="n">
        <x:f>ROUND(B31*20%,0)</x:f>
        <x:v>4</x:v>
      </x:c>
      <x:c r="D31" s="30" t="n">
        <x:v>25</x:v>
      </x:c>
      <x:c r="E31" s="30" t="n">
        <x:v>25</x:v>
      </x:c>
      <x:c r="F31" s="30" t="n">
        <x:f>IF(D31="","",E31-D31)</x:f>
        <x:v>0</x:v>
      </x:c>
      <x:c r="G31" s="31" t="n">
        <x:f>IF(OR(B31=0,D31=""),"",D31/B31)</x:f>
        <x:v>1.25</x:v>
      </x:c>
      <x:c r="H31" s="30" t="n">
        <x:f>IF(OR(B31=0,D31=""),"",MAX(B31-D31,0))</x:f>
        <x:v>0</x:v>
      </x:c>
      <x:c r="I31" s="32" t="str">
        <x:f>IF(B31=0,"Sin meta",IF(D31="","Sin dato financiero",IF(D31&gt;B31,"Superada",IF(D31=B31,"Cumplida",IF(D31/B31&gt;=0.8,"Cerca",IF(D31/B31&gt;=0.5,"En progreso","Rezagada"))))))</x:f>
        <x:v>Superada</x:v>
      </x:c>
      <x:c r="J31" s="33" t="str">
        <x:v>MATR83 + EINR41 PS/RC · 18-08-2026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8" hidden="0" customWidth="1"/>
  </x:cols>
  <x:sheetData>
    <x:row r="1" ht="32" customHeight="1">
      <x:c r="A1" s="3" t="str">
        <x:v>Matrícula académica por programa</x:v>
      </x:c>
      <x:c r="B1" s="3"/>
      <x:c r="C1" s="3"/>
    </x:row>
    <x:row r="2" ht="24" customHeight="1">
      <x:c r="A2" s="6" t="str">
        <x:v>Nivel 1 del reporte institucional MATR83 · 18 de agosto de 2026, 14:58</x:v>
      </x:c>
      <x:c r="B2" s="6"/>
      <x:c r="C2" s="6"/>
    </x:row>
    <x:row r="4" ht="30" customHeight="1">
      <x:c r="A4" s="10" t="str">
        <x:v>Programa</x:v>
      </x:c>
      <x:c r="B4" s="10" t="str">
        <x:v>Matrícula académica</x:v>
      </x:c>
      <x:c r="C4" s="10" t="str">
        <x:v>Observación</x:v>
      </x:c>
    </x:row>
    <x:row r="5">
      <x:c r="A5" t="str">
        <x:v>Administración Ambiental</x:v>
      </x:c>
      <x:c r="B5" s="19" t="n">
        <x:v>0</x:v>
      </x:c>
      <x:c r="C5" t="str">
        <x:v>Primer nivel / semestre</x:v>
      </x:c>
    </x:row>
    <x:row r="6">
      <x:c r="A6" t="str">
        <x:v>Administración de Empresas</x:v>
      </x:c>
      <x:c r="B6" s="19" t="n">
        <x:v>43</x:v>
      </x:c>
      <x:c r="C6" t="str">
        <x:v>Primer nivel / semestre</x:v>
      </x:c>
    </x:row>
    <x:row r="7">
      <x:c r="A7" t="str">
        <x:v>Administración de Empresas Virtual</x:v>
      </x:c>
      <x:c r="B7" s="19" t="n">
        <x:v>0</x:v>
      </x:c>
      <x:c r="C7" t="str">
        <x:v>Primer nivel / semestre</x:v>
      </x:c>
    </x:row>
    <x:row r="8">
      <x:c r="A8" t="str">
        <x:v>Administración de Servicios de Salud</x:v>
      </x:c>
      <x:c r="B8" s="19" t="n">
        <x:v>15</x:v>
      </x:c>
      <x:c r="C8" t="str">
        <x:v>Primer nivel / semestre</x:v>
      </x:c>
    </x:row>
    <x:row r="9">
      <x:c r="A9" t="str">
        <x:v>Arquitectura</x:v>
      </x:c>
      <x:c r="B9" s="19" t="n">
        <x:v>33</x:v>
      </x:c>
      <x:c r="C9" t="str">
        <x:v>Primer nivel / semestre</x:v>
      </x:c>
    </x:row>
    <x:row r="10">
      <x:c r="A10" t="str">
        <x:v>Banca y Finanzas</x:v>
      </x:c>
      <x:c r="B10" s="19" t="n">
        <x:v>0</x:v>
      </x:c>
      <x:c r="C10" t="str">
        <x:v>Primer nivel / semestre</x:v>
      </x:c>
    </x:row>
    <x:row r="11">
      <x:c r="A11" t="str">
        <x:v>Comunicación Social y Medios Digitales</x:v>
      </x:c>
      <x:c r="B11" s="19" t="n">
        <x:v>26</x:v>
      </x:c>
      <x:c r="C11" t="str">
        <x:v>Primer nivel / semestre</x:v>
      </x:c>
    </x:row>
    <x:row r="12">
      <x:c r="A12" t="str">
        <x:v>Contaduría Pública</x:v>
      </x:c>
      <x:c r="B12" s="19" t="n">
        <x:v>34</x:v>
      </x:c>
      <x:c r="C12" t="str">
        <x:v>Primer nivel / semestre</x:v>
      </x:c>
    </x:row>
    <x:row r="13">
      <x:c r="A13" t="str">
        <x:v>Creación y Diseño</x:v>
      </x:c>
      <x:c r="B13" s="19" t="n">
        <x:v>10</x:v>
      </x:c>
      <x:c r="C13" t="str">
        <x:v>Primer nivel / semestre</x:v>
      </x:c>
    </x:row>
    <x:row r="14">
      <x:c r="A14" t="str">
        <x:v>Derecho</x:v>
      </x:c>
      <x:c r="B14" s="19" t="n">
        <x:v>21</x:v>
      </x:c>
      <x:c r="C14" t="str">
        <x:v>Primer nivel / semestre</x:v>
      </x:c>
    </x:row>
    <x:row r="15">
      <x:c r="A15" t="str">
        <x:v>Derecho Villavicencio</x:v>
      </x:c>
      <x:c r="B15" s="19" t="n">
        <x:v>9</x:v>
      </x:c>
      <x:c r="C15" t="str">
        <x:v>Primer nivel / semestre</x:v>
      </x:c>
    </x:row>
    <x:row r="16">
      <x:c r="A16" t="str">
        <x:v>Ingeniería Ambiental</x:v>
      </x:c>
      <x:c r="B16" s="19" t="n">
        <x:v>6</x:v>
      </x:c>
      <x:c r="C16" t="str">
        <x:v>Primer nivel / semestre</x:v>
      </x:c>
    </x:row>
    <x:row r="17">
      <x:c r="A17" t="str">
        <x:v>Ingeniería Civil</x:v>
      </x:c>
      <x:c r="B17" s="19" t="n">
        <x:v>43</x:v>
      </x:c>
      <x:c r="C17" t="str">
        <x:v>Primer nivel / semestre</x:v>
      </x:c>
    </x:row>
    <x:row r="18">
      <x:c r="A18" t="str">
        <x:v>Ingeniería de Sistemas</x:v>
      </x:c>
      <x:c r="B18" s="19" t="n">
        <x:v>55</x:v>
      </x:c>
      <x:c r="C18" t="str">
        <x:v>Primer nivel / semestre</x:v>
      </x:c>
    </x:row>
    <x:row r="19">
      <x:c r="A19" t="str">
        <x:v>Ingeniería Eléctrica</x:v>
      </x:c>
      <x:c r="B19" s="19" t="n">
        <x:v>14</x:v>
      </x:c>
      <x:c r="C19" t="str">
        <x:v>Primer nivel / semestre</x:v>
      </x:c>
    </x:row>
    <x:row r="20">
      <x:c r="A20" t="str">
        <x:v>Ingeniería Electrónica</x:v>
      </x:c>
      <x:c r="B20" s="19" t="n">
        <x:v>9</x:v>
      </x:c>
      <x:c r="C20" t="str">
        <x:v>Primer nivel / semestre</x:v>
      </x:c>
    </x:row>
    <x:row r="21">
      <x:c r="A21" t="str">
        <x:v>Ingeniería Industrial</x:v>
      </x:c>
      <x:c r="B21" s="19" t="n">
        <x:v>31</x:v>
      </x:c>
      <x:c r="C21" t="str">
        <x:v>Primer nivel / semestre</x:v>
      </x:c>
    </x:row>
    <x:row r="22">
      <x:c r="A22" t="str">
        <x:v>Ingeniería Mecánica</x:v>
      </x:c>
      <x:c r="B22" s="19" t="n">
        <x:v>11</x:v>
      </x:c>
      <x:c r="C22" t="str">
        <x:v>Primer nivel / semestre</x:v>
      </x:c>
    </x:row>
    <x:row r="23">
      <x:c r="A23" t="str">
        <x:v>Licenciatura en Educación Básica Primaria</x:v>
      </x:c>
      <x:c r="B23" s="19" t="n">
        <x:v>0</x:v>
      </x:c>
      <x:c r="C23" t="str">
        <x:v>Primer nivel / semestre</x:v>
      </x:c>
    </x:row>
    <x:row r="24">
      <x:c r="A24" t="str">
        <x:v>Mercadeo y Publicidad</x:v>
      </x:c>
      <x:c r="B24" s="19" t="n">
        <x:v>38</x:v>
      </x:c>
      <x:c r="C24" t="str">
        <x:v>Primer nivel / semestre</x:v>
      </x:c>
    </x:row>
    <x:row r="25">
      <x:c r="A25" t="str">
        <x:v>Negocios Internacionales</x:v>
      </x:c>
      <x:c r="B25" s="19" t="n">
        <x:v>55</x:v>
      </x:c>
      <x:c r="C25" t="str">
        <x:v>Primer nivel / semestre</x:v>
      </x:c>
    </x:row>
    <x:row r="26">
      <x:c r="A26" t="str">
        <x:v>Psicología</x:v>
      </x:c>
      <x:c r="B26" s="19" t="n">
        <x:v>33</x:v>
      </x:c>
      <x:c r="C26" t="str">
        <x:v>Primer nivel / semestre</x:v>
      </x:c>
    </x:row>
    <x:row r="27">
      <x:c r="A27" t="str">
        <x:v>Psicología Villavicencio</x:v>
      </x:c>
      <x:c r="B27" s="19" t="n">
        <x:v>3</x:v>
      </x:c>
      <x:c r="C27" t="str">
        <x:v>Primer nivel / semestre</x:v>
      </x:c>
    </x:row>
    <x:row r="28">
      <x:c r="A28" t="str">
        <x:v>Técnico en Desarrollo de Software</x:v>
      </x:c>
      <x:c r="B28" s="19" t="n">
        <x:v>38</x:v>
      </x:c>
      <x:c r="C28" t="str">
        <x:v>Primer nivel / semestre</x:v>
      </x:c>
    </x:row>
    <x:row r="29">
      <x:c r="A29" t="str">
        <x:v>Técnico en Desarrollo de Software - Virtual</x:v>
      </x:c>
      <x:c r="B29" s="19" t="n">
        <x:v>1</x:v>
      </x:c>
      <x:c r="C29" t="str">
        <x:v>Primer nivel / semestre</x:v>
      </x:c>
    </x:row>
    <x:row r="30">
      <x:c r="A30" t="str">
        <x:v>Técnico en Entrenamiento Deportivo</x:v>
      </x:c>
      <x:c r="B30" s="19" t="n">
        <x:v>15</x:v>
      </x:c>
      <x:c r="C30" t="str">
        <x:v>Primer nivel / semestre</x:v>
      </x:c>
    </x:row>
    <x:row r="31">
      <x:c r="A31" t="str">
        <x:v>Medicina</x:v>
      </x:c>
      <x:c r="B31" s="19" t="n">
        <x:v>25</x:v>
      </x:c>
      <x:c r="C31" t="str">
        <x:v>Primer nivel / semestre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32" customHeight="1">
      <x:c r="A1" s="3" t="str">
        <x:v>Embudo de inscripción y admisión</x:v>
      </x:c>
      <x:c r="B1" s="3"/>
      <x:c r="C1" s="3"/>
      <x:c r="D1" s="3"/>
      <x:c r="E1" s="3"/>
      <x:c r="F1" s="3"/>
      <x:c r="G1" s="3"/>
    </x:row>
    <x:row r="2" ht="24" customHeight="1">
      <x:c r="A2" s="6" t="str">
        <x:v>Inscripción normal + reserva de cupo · Barranquilla y Villavicencio · 18 de agosto de 2026</x:v>
      </x:c>
      <x:c r="B2" s="6"/>
      <x:c r="C2" s="6"/>
      <x:c r="D2" s="6"/>
      <x:c r="E2" s="6"/>
      <x:c r="F2" s="6"/>
      <x:c r="G2" s="6"/>
    </x:row>
    <x:row r="4" ht="30" customHeight="1">
      <x:c r="A4" s="10" t="str">
        <x:v>Programa</x:v>
      </x:c>
      <x:c r="B4" s="10" t="str">
        <x:v>Preinscritos</x:v>
      </x:c>
      <x:c r="C4" s="10" t="str">
        <x:v>Inscritos</x:v>
      </x:c>
      <x:c r="D4" s="10" t="str">
        <x:v>Admitidos</x:v>
      </x:c>
      <x:c r="E4" s="10" t="str">
        <x:v>Matrícula financiera</x:v>
      </x:c>
      <x:c r="F4" s="10" t="str">
        <x:v>Conversión total</x:v>
      </x:c>
      <x:c r="G4" s="10" t="str">
        <x:v>Fuente</x:v>
      </x:c>
    </x:row>
    <x:row r="5">
      <x:c r="A5" t="str">
        <x:v>Medicina</x:v>
      </x:c>
      <x:c r="B5" s="19" t="n">
        <x:v>126</x:v>
      </x:c>
      <x:c r="C5" s="19" t="n">
        <x:v>54</x:v>
      </x:c>
      <x:c r="D5" s="19" t="n">
        <x:v>44</x:v>
      </x:c>
      <x:c r="E5" s="19" t="n">
        <x:v>25</x:v>
      </x:c>
      <x:c r="F5" s="20" t="n">
        <x:f>IF(B5=0,"",E5/B5)</x:f>
        <x:v>0.1984126984126984</x:v>
      </x:c>
      <x:c r="G5" t="str">
        <x:v>EINR41 PS + RC · 18-08-2026</x:v>
      </x:c>
    </x:row>
    <x:row r="6">
      <x:c r="A6" t="str">
        <x:v>Ingeniería Civil</x:v>
      </x:c>
      <x:c r="B6" s="19" t="n">
        <x:v>73</x:v>
      </x:c>
      <x:c r="C6" s="19" t="n">
        <x:v>54</x:v>
      </x:c>
      <x:c r="D6" s="19" t="n">
        <x:v>50</x:v>
      </x:c>
      <x:c r="E6" s="19" t="n">
        <x:v>36</x:v>
      </x:c>
      <x:c r="F6" s="20" t="n">
        <x:f>IF(B6=0,"",E6/B6)</x:f>
        <x:v>0.4931506849315068</x:v>
      </x:c>
      <x:c r="G6" t="str">
        <x:v>EINR41 PS + RC · 18-08-2026</x:v>
      </x:c>
    </x:row>
    <x:row r="7">
      <x:c r="A7" t="str">
        <x:v>Ingeniería Eléctrica</x:v>
      </x:c>
      <x:c r="B7" s="19" t="n">
        <x:v>24</x:v>
      </x:c>
      <x:c r="C7" s="19" t="n">
        <x:v>17</x:v>
      </x:c>
      <x:c r="D7" s="19" t="n">
        <x:v>17</x:v>
      </x:c>
      <x:c r="E7" s="19" t="n">
        <x:v>11</x:v>
      </x:c>
      <x:c r="F7" s="20" t="n">
        <x:f>IF(B7=0,"",E7/B7)</x:f>
        <x:v>0.4583333333333333</x:v>
      </x:c>
      <x:c r="G7" t="str">
        <x:v>EINR41 PS + RC · 18-08-2026</x:v>
      </x:c>
    </x:row>
    <x:row r="8">
      <x:c r="A8" t="str">
        <x:v>Ingeniería Mecánica</x:v>
      </x:c>
      <x:c r="B8" s="19" t="n">
        <x:v>24</x:v>
      </x:c>
      <x:c r="C8" s="19" t="n">
        <x:v>14</x:v>
      </x:c>
      <x:c r="D8" s="19" t="n">
        <x:v>14</x:v>
      </x:c>
      <x:c r="E8" s="19" t="n">
        <x:v>9</x:v>
      </x:c>
      <x:c r="F8" s="20" t="n">
        <x:f>IF(B8=0,"",E8/B8)</x:f>
        <x:v>0.375</x:v>
      </x:c>
      <x:c r="G8" t="str">
        <x:v>EINR41 PS + RC · 18-08-2026</x:v>
      </x:c>
    </x:row>
    <x:row r="9">
      <x:c r="A9" t="str">
        <x:v>Ingeniería Electrónica</x:v>
      </x:c>
      <x:c r="B9" s="19" t="n">
        <x:v>13</x:v>
      </x:c>
      <x:c r="C9" s="19" t="n">
        <x:v>11</x:v>
      </x:c>
      <x:c r="D9" s="19" t="n">
        <x:v>11</x:v>
      </x:c>
      <x:c r="E9" s="19" t="n">
        <x:v>9</x:v>
      </x:c>
      <x:c r="F9" s="20" t="n">
        <x:f>IF(B9=0,"",E9/B9)</x:f>
        <x:v>0.6923076923076923</x:v>
      </x:c>
      <x:c r="G9" t="str">
        <x:v>EINR41 PS + RC · 18-08-2026</x:v>
      </x:c>
    </x:row>
    <x:row r="10">
      <x:c r="A10" t="str">
        <x:v>Ingeniería Industrial</x:v>
      </x:c>
      <x:c r="B10" s="19" t="n">
        <x:v>59</x:v>
      </x:c>
      <x:c r="C10" s="19" t="n">
        <x:v>40</x:v>
      </x:c>
      <x:c r="D10" s="19" t="n">
        <x:v>40</x:v>
      </x:c>
      <x:c r="E10" s="19" t="n">
        <x:v>29</x:v>
      </x:c>
      <x:c r="F10" s="20" t="n">
        <x:f>IF(B10=0,"",E10/B10)</x:f>
        <x:v>0.4915254237288136</x:v>
      </x:c>
      <x:c r="G10" t="str">
        <x:v>EINR41 PS + RC · 18-08-2026</x:v>
      </x:c>
    </x:row>
    <x:row r="11">
      <x:c r="A11" t="str">
        <x:v>Ingeniería de Sistemas</x:v>
      </x:c>
      <x:c r="B11" s="19" t="n">
        <x:v>79</x:v>
      </x:c>
      <x:c r="C11" s="19" t="n">
        <x:v>53</x:v>
      </x:c>
      <x:c r="D11" s="19" t="n">
        <x:v>51</x:v>
      </x:c>
      <x:c r="E11" s="19" t="n">
        <x:v>39</x:v>
      </x:c>
      <x:c r="F11" s="20" t="n">
        <x:f>IF(B11=0,"",E11/B11)</x:f>
        <x:v>0.4936708860759494</x:v>
      </x:c>
      <x:c r="G11" t="str">
        <x:v>EINR41 PS + RC · 18-08-2026</x:v>
      </x:c>
    </x:row>
    <x:row r="12">
      <x:c r="A12" t="str">
        <x:v>Ingeniería Ambiental</x:v>
      </x:c>
      <x:c r="B12" s="19" t="n">
        <x:v>14</x:v>
      </x:c>
      <x:c r="C12" s="19" t="n">
        <x:v>10</x:v>
      </x:c>
      <x:c r="D12" s="19" t="n">
        <x:v>10</x:v>
      </x:c>
      <x:c r="E12" s="19" t="n">
        <x:v>6</x:v>
      </x:c>
      <x:c r="F12" s="20" t="n">
        <x:f>IF(B12=0,"",E12/B12)</x:f>
        <x:v>0.42857142857142855</x:v>
      </x:c>
      <x:c r="G12" t="str">
        <x:v>EINR41 PS + RC · 18-08-2026</x:v>
      </x:c>
    </x:row>
    <x:row r="13">
      <x:c r="A13" t="str">
        <x:v>Arquitectura</x:v>
      </x:c>
      <x:c r="B13" s="19" t="n">
        <x:v>45</x:v>
      </x:c>
      <x:c r="C13" s="19" t="n">
        <x:v>29</x:v>
      </x:c>
      <x:c r="D13" s="19" t="n">
        <x:v>25</x:v>
      </x:c>
      <x:c r="E13" s="19" t="n">
        <x:v>20</x:v>
      </x:c>
      <x:c r="F13" s="20" t="n">
        <x:f>IF(B13=0,"",E13/B13)</x:f>
        <x:v>0.4444444444444444</x:v>
      </x:c>
      <x:c r="G13" t="str">
        <x:v>EINR41 PS + RC · 18-08-2026</x:v>
      </x:c>
    </x:row>
    <x:row r="14">
      <x:c r="A14" t="str">
        <x:v>Creación y Diseño</x:v>
      </x:c>
      <x:c r="B14" s="19" t="n">
        <x:v>18</x:v>
      </x:c>
      <x:c r="C14" s="19" t="n">
        <x:v>14</x:v>
      </x:c>
      <x:c r="D14" s="19" t="n">
        <x:v>12</x:v>
      </x:c>
      <x:c r="E14" s="19" t="n">
        <x:v>9</x:v>
      </x:c>
      <x:c r="F14" s="20" t="n">
        <x:f>IF(B14=0,"",E14/B14)</x:f>
        <x:v>0.5</x:v>
      </x:c>
      <x:c r="G14" t="str">
        <x:v>EINR41 PS + RC · 18-08-2026</x:v>
      </x:c>
    </x:row>
    <x:row r="15">
      <x:c r="A15" t="str">
        <x:v>Derecho</x:v>
      </x:c>
      <x:c r="B15" s="19" t="n">
        <x:v>44</x:v>
      </x:c>
      <x:c r="C15" s="19" t="n">
        <x:v>22</x:v>
      </x:c>
      <x:c r="D15" s="19" t="n">
        <x:v>20</x:v>
      </x:c>
      <x:c r="E15" s="19" t="n">
        <x:v>17</x:v>
      </x:c>
      <x:c r="F15" s="20" t="n">
        <x:f>IF(B15=0,"",E15/B15)</x:f>
        <x:v>0.38636363636363635</x:v>
      </x:c>
      <x:c r="G15" t="str">
        <x:v>EINR41 PS + RC · 18-08-2026</x:v>
      </x:c>
    </x:row>
    <x:row r="16">
      <x:c r="A16" t="str">
        <x:v>Derecho Villavicencio</x:v>
      </x:c>
      <x:c r="B16" s="19" t="n">
        <x:v>12</x:v>
      </x:c>
      <x:c r="C16" s="19" t="n">
        <x:v>9</x:v>
      </x:c>
      <x:c r="D16" s="19" t="n">
        <x:v>9</x:v>
      </x:c>
      <x:c r="E16" s="19" t="n">
        <x:v>8</x:v>
      </x:c>
      <x:c r="F16" s="20" t="n">
        <x:f>IF(B16=0,"",E16/B16)</x:f>
        <x:v>0.6666666666666666</x:v>
      </x:c>
      <x:c r="G16" t="str">
        <x:v>EINR41 PS + RC · 18-08-2026</x:v>
      </x:c>
    </x:row>
    <x:row r="17">
      <x:c r="A17" t="str">
        <x:v>Técnico en Desarrollo de Software</x:v>
      </x:c>
      <x:c r="B17" s="19" t="n">
        <x:v>58</x:v>
      </x:c>
      <x:c r="C17" s="19" t="n">
        <x:v>46</x:v>
      </x:c>
      <x:c r="D17" s="19" t="n">
        <x:v>42</x:v>
      </x:c>
      <x:c r="E17" s="19" t="n">
        <x:v>34</x:v>
      </x:c>
      <x:c r="F17" s="20" t="n">
        <x:f>IF(B17=0,"",E17/B17)</x:f>
        <x:v>0.5862068965517241</x:v>
      </x:c>
      <x:c r="G17" t="str">
        <x:v>EINR41 PS + RC · 18-08-2026</x:v>
      </x:c>
    </x:row>
    <x:row r="18">
      <x:c r="A18" t="str">
        <x:v>Administración de Empresas</x:v>
      </x:c>
      <x:c r="B18" s="19" t="n">
        <x:v>65</x:v>
      </x:c>
      <x:c r="C18" s="19" t="n">
        <x:v>47</x:v>
      </x:c>
      <x:c r="D18" s="19" t="n">
        <x:v>45</x:v>
      </x:c>
      <x:c r="E18" s="19" t="n">
        <x:v>35</x:v>
      </x:c>
      <x:c r="F18" s="20" t="n">
        <x:f>IF(B18=0,"",E18/B18)</x:f>
        <x:v>0.5384615384615384</x:v>
      </x:c>
      <x:c r="G18" t="str">
        <x:v>EINR41 PS + RC · 18-08-2026</x:v>
      </x:c>
    </x:row>
    <x:row r="19">
      <x:c r="A19" t="str">
        <x:v>Contaduría Pública</x:v>
      </x:c>
      <x:c r="B19" s="19" t="n">
        <x:v>53</x:v>
      </x:c>
      <x:c r="C19" s="19" t="n">
        <x:v>35</x:v>
      </x:c>
      <x:c r="D19" s="19" t="n">
        <x:v>34</x:v>
      </x:c>
      <x:c r="E19" s="19" t="n">
        <x:v>30</x:v>
      </x:c>
      <x:c r="F19" s="20" t="n">
        <x:f>IF(B19=0,"",E19/B19)</x:f>
        <x:v>0.5660377358490566</x:v>
      </x:c>
      <x:c r="G19" t="str">
        <x:v>EINR41 PS + RC · 18-08-2026</x:v>
      </x:c>
    </x:row>
    <x:row r="20">
      <x:c r="A20" t="str">
        <x:v>Negocios Internacionales</x:v>
      </x:c>
      <x:c r="B20" s="19" t="n">
        <x:v>85</x:v>
      </x:c>
      <x:c r="C20" s="19" t="n">
        <x:v>65</x:v>
      </x:c>
      <x:c r="D20" s="19" t="n">
        <x:v>61</x:v>
      </x:c>
      <x:c r="E20" s="19" t="n">
        <x:v>48</x:v>
      </x:c>
      <x:c r="F20" s="20" t="n">
        <x:f>IF(B20=0,"",E20/B20)</x:f>
        <x:v>0.5647058823529412</x:v>
      </x:c>
      <x:c r="G20" t="str">
        <x:v>EINR41 PS + RC · 18-08-2026</x:v>
      </x:c>
    </x:row>
    <x:row r="21">
      <x:c r="A21" t="str">
        <x:v>Administración de Servicios de Salud</x:v>
      </x:c>
      <x:c r="B21" s="19" t="n">
        <x:v>25</x:v>
      </x:c>
      <x:c r="C21" s="19" t="n">
        <x:v>15</x:v>
      </x:c>
      <x:c r="D21" s="19" t="n">
        <x:v>14</x:v>
      </x:c>
      <x:c r="E21" s="19" t="n">
        <x:v>14</x:v>
      </x:c>
      <x:c r="F21" s="20" t="n">
        <x:f>IF(B21=0,"",E21/B21)</x:f>
        <x:v>0.56</x:v>
      </x:c>
      <x:c r="G21" t="str">
        <x:v>EINR41 PS + RC · 18-08-2026</x:v>
      </x:c>
    </x:row>
    <x:row r="22">
      <x:c r="A22" t="str">
        <x:v>Mercadeo y Publicidad</x:v>
      </x:c>
      <x:c r="B22" s="19" t="n">
        <x:v>49</x:v>
      </x:c>
      <x:c r="C22" s="19" t="n">
        <x:v>41</x:v>
      </x:c>
      <x:c r="D22" s="19" t="n">
        <x:v>40</x:v>
      </x:c>
      <x:c r="E22" s="19" t="n">
        <x:v>36</x:v>
      </x:c>
      <x:c r="F22" s="20" t="n">
        <x:f>IF(B22=0,"",E22/B22)</x:f>
        <x:v>0.7346938775510204</x:v>
      </x:c>
      <x:c r="G22" t="str">
        <x:v>EINR41 PS + RC · 18-08-2026</x:v>
      </x:c>
    </x:row>
    <x:row r="23">
      <x:c r="A23" t="str">
        <x:v>Psicología</x:v>
      </x:c>
      <x:c r="B23" s="19" t="n">
        <x:v>58</x:v>
      </x:c>
      <x:c r="C23" s="19" t="n">
        <x:v>42</x:v>
      </x:c>
      <x:c r="D23" s="19" t="n">
        <x:v>36</x:v>
      </x:c>
      <x:c r="E23" s="19" t="n">
        <x:v>29</x:v>
      </x:c>
      <x:c r="F23" s="20" t="n">
        <x:f>IF(B23=0,"",E23/B23)</x:f>
        <x:v>0.5</x:v>
      </x:c>
      <x:c r="G23" t="str">
        <x:v>EINR41 PS + RC · 18-08-2026</x:v>
      </x:c>
    </x:row>
    <x:row r="24">
      <x:c r="A24" t="str">
        <x:v>Psicología Villavicencio</x:v>
      </x:c>
      <x:c r="B24" s="19" t="n">
        <x:v>4</x:v>
      </x:c>
      <x:c r="C24" s="19" t="n">
        <x:v>4</x:v>
      </x:c>
      <x:c r="D24" s="19" t="n">
        <x:v>4</x:v>
      </x:c>
      <x:c r="E24" s="19" t="n">
        <x:v>3</x:v>
      </x:c>
      <x:c r="F24" s="20" t="n">
        <x:f>IF(B24=0,"",E24/B24)</x:f>
        <x:v>0.75</x:v>
      </x:c>
      <x:c r="G24" t="str">
        <x:v>EINR41 PS + RC · 18-08-2026</x:v>
      </x:c>
    </x:row>
    <x:row r="25">
      <x:c r="A25" t="str">
        <x:v>Comunicación Social y Medios Digitales</x:v>
      </x:c>
      <x:c r="B25" s="19" t="n">
        <x:v>38</x:v>
      </x:c>
      <x:c r="C25" s="19" t="n">
        <x:v>32</x:v>
      </x:c>
      <x:c r="D25" s="19" t="n">
        <x:v>30</x:v>
      </x:c>
      <x:c r="E25" s="19" t="n">
        <x:v>25</x:v>
      </x:c>
      <x:c r="F25" s="20" t="n">
        <x:f>IF(B25=0,"",E25/B25)</x:f>
        <x:v>0.6578947368421053</x:v>
      </x:c>
      <x:c r="G25" t="str">
        <x:v>EINR41 PS + RC · 18-08-2026</x:v>
      </x:c>
    </x:row>
    <x:row r="26">
      <x:c r="A26" t="str">
        <x:v>Técnico en Entrenamiento Deportivo</x:v>
      </x:c>
      <x:c r="B26" s="19" t="n">
        <x:v>25</x:v>
      </x:c>
      <x:c r="C26" s="19" t="n">
        <x:v>18</x:v>
      </x:c>
      <x:c r="D26" s="19" t="n">
        <x:v>15</x:v>
      </x:c>
      <x:c r="E26" s="19" t="n">
        <x:v>15</x:v>
      </x:c>
      <x:c r="F26" s="20" t="n">
        <x:f>IF(B26=0,"",E26/B26)</x:f>
        <x:v>0.6</x:v>
      </x:c>
      <x:c r="G26" t="str">
        <x:v>EINR41 PS + RC · 18-08-2026</x:v>
      </x:c>
    </x:row>
  </x:sheetData>
  <x:mergeCells>
    <x:mergeCell ref="A1:G1"/>
    <x:mergeCell ref="A2:G2"/>
  </x:mergeCells>
  <x:pageMargins left="0.7" right="0.7" top="0.75" bottom="0.75" header="0.3" footer="0.3"/>
</x:worksheet>
</file>